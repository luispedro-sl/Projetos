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osAnaliseVendas" sheetId="1" r:id="rId5"/>
    <sheet state="visible" name="DadosAnaliseVendas" sheetId="2" r:id="rId6"/>
    <sheet state="visible" name="GraficosAnalisePerfilCliente" sheetId="3" r:id="rId7"/>
    <sheet state="visible" name="DadosAnalisePerfilCliente" sheetId="4" r:id="rId8"/>
  </sheets>
  <definedNames/>
  <calcPr/>
</workbook>
</file>

<file path=xl/sharedStrings.xml><?xml version="1.0" encoding="utf-8"?>
<sst xmlns="http://schemas.openxmlformats.org/spreadsheetml/2006/main" count="79" uniqueCount="71">
  <si>
    <t>Estado</t>
  </si>
  <si>
    <t>Vendas</t>
  </si>
  <si>
    <t>Ambos data 8/2021</t>
  </si>
  <si>
    <t>SP</t>
  </si>
  <si>
    <t>KIYOKO CILEIDI JERY LTDA</t>
  </si>
  <si>
    <t>MG</t>
  </si>
  <si>
    <t>CLAUDINEO JOZENAIDE LUYANE LTDA</t>
  </si>
  <si>
    <t>SC</t>
  </si>
  <si>
    <t>GERRIVALDO ROSIELEN VALTEIDE LTDA</t>
  </si>
  <si>
    <t>RS</t>
  </si>
  <si>
    <t>ADO JUBERTH VALTUIDES LTDA</t>
  </si>
  <si>
    <t>PR</t>
  </si>
  <si>
    <t>NILFA CID SILVANDRO LTDA</t>
  </si>
  <si>
    <t>RJ</t>
  </si>
  <si>
    <t>ES</t>
  </si>
  <si>
    <t>GO</t>
  </si>
  <si>
    <t>FIAT</t>
  </si>
  <si>
    <t>MT</t>
  </si>
  <si>
    <t>CHEVROLET</t>
  </si>
  <si>
    <t>MS</t>
  </si>
  <si>
    <t>VOLKSWAGEN</t>
  </si>
  <si>
    <t>DF</t>
  </si>
  <si>
    <t>FORD</t>
  </si>
  <si>
    <t>RENAULT</t>
  </si>
  <si>
    <t>Dia da Semana</t>
  </si>
  <si>
    <t>Visitas ao Site</t>
  </si>
  <si>
    <t>Domingo</t>
  </si>
  <si>
    <t>Segunda-feira</t>
  </si>
  <si>
    <t>Leads</t>
  </si>
  <si>
    <t>Taxa de Conversão</t>
  </si>
  <si>
    <t>Data</t>
  </si>
  <si>
    <t>Terça-feira</t>
  </si>
  <si>
    <t>Quarta-feira</t>
  </si>
  <si>
    <t>Quinta-feira</t>
  </si>
  <si>
    <t>Sexta-feira</t>
  </si>
  <si>
    <t>Sabado</t>
  </si>
  <si>
    <t>Faturamento</t>
  </si>
  <si>
    <t xml:space="preserve">Ticket Medio </t>
  </si>
  <si>
    <t>Mes</t>
  </si>
  <si>
    <t>Status Profissional</t>
  </si>
  <si>
    <t>Quantidade</t>
  </si>
  <si>
    <t>Porcentagem</t>
  </si>
  <si>
    <t>Faixa Etaria</t>
  </si>
  <si>
    <t>Categoria</t>
  </si>
  <si>
    <t>Empregado(CLT)</t>
  </si>
  <si>
    <t>0 - 20</t>
  </si>
  <si>
    <t>Novo</t>
  </si>
  <si>
    <t>Autonomo</t>
  </si>
  <si>
    <t>40 - 20</t>
  </si>
  <si>
    <t>Seminovo</t>
  </si>
  <si>
    <t>Empresario</t>
  </si>
  <si>
    <t>60 - 40</t>
  </si>
  <si>
    <t>Outro</t>
  </si>
  <si>
    <t>80 - 60</t>
  </si>
  <si>
    <t>Freelancer</t>
  </si>
  <si>
    <t>Aposentado</t>
  </si>
  <si>
    <t>Servidor Publico</t>
  </si>
  <si>
    <t>Idade_Veiculo</t>
  </si>
  <si>
    <t>Faixa Salarial</t>
  </si>
  <si>
    <t>Até 2 Anos</t>
  </si>
  <si>
    <t>0 - 5000</t>
  </si>
  <si>
    <t>de 2 à 4 Anos</t>
  </si>
  <si>
    <t>5000-10000</t>
  </si>
  <si>
    <t>de 4 à 6 Anos</t>
  </si>
  <si>
    <t>10000 - 15000</t>
  </si>
  <si>
    <t>de 6 à 8 Anos</t>
  </si>
  <si>
    <t>15000 - 20000</t>
  </si>
  <si>
    <t>de 8 à 10 Anos</t>
  </si>
  <si>
    <t>Acima de 10 Anos</t>
  </si>
  <si>
    <t>Masculino</t>
  </si>
  <si>
    <t>Feminino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</si>
</sst>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textRotation="90" vertical="center" wrapText="1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Vendas por Estado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DadosAnaliseVendas!$B$1</c:f>
            </c:strRef>
          </c:tx>
          <c:dPt>
            <c:idx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274E13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DadosAnaliseVendas!$A$2:$A$12</c:f>
            </c:strRef>
          </c:cat>
          <c:val>
            <c:numRef>
              <c:f>DadosAnaliseVendas!$B$2:$B$12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Visitas ao Site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DadosAnaliseVendas!$B$14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DadosAnaliseVendas!$A$15:$A$21</c:f>
            </c:strRef>
          </c:cat>
          <c:val>
            <c:numRef>
              <c:f>DadosAnaliseVendas!$B$15:$B$21</c:f>
              <c:numCache/>
            </c:numRef>
          </c:val>
        </c:ser>
        <c:axId val="364567516"/>
        <c:axId val="1804938140"/>
      </c:barChart>
      <c:catAx>
        <c:axId val="364567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 da 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938140"/>
      </c:catAx>
      <c:valAx>
        <c:axId val="1804938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Visitas ao 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567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Leads and Taxa de Conversão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DadosAnaliseVendas!$E$16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DadosAnaliseVendas!$G$17:$G$28</c:f>
            </c:strRef>
          </c:cat>
          <c:val>
            <c:numRef>
              <c:f>DadosAnaliseVendas!$E$17:$E$28</c:f>
              <c:numCache/>
            </c:numRef>
          </c:val>
        </c:ser>
        <c:axId val="963404437"/>
        <c:axId val="258670605"/>
      </c:barChart>
      <c:catAx>
        <c:axId val="963404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670605"/>
      </c:catAx>
      <c:valAx>
        <c:axId val="258670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404437"/>
      </c:valAx>
      <c:lineChart>
        <c:varyColors val="0"/>
        <c:ser>
          <c:idx val="1"/>
          <c:order val="1"/>
          <c:tx>
            <c:strRef>
              <c:f>DadosAnaliseVendas!$F$16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DadosAnaliseVendas!$G$17:$G$28</c:f>
            </c:strRef>
          </c:cat>
          <c:val>
            <c:numRef>
              <c:f>DadosAnaliseVendas!$F$17:$F$28</c:f>
              <c:numCache/>
            </c:numRef>
          </c:val>
          <c:smooth val="0"/>
        </c:ser>
        <c:axId val="1917365031"/>
        <c:axId val="108774776"/>
      </c:lineChart>
      <c:catAx>
        <c:axId val="1917365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74776"/>
      </c:catAx>
      <c:valAx>
        <c:axId val="1087747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3650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Faturamento eTicket Medio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DadosAnaliseVendas!$A$23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DadosAnaliseVendas!$C$24:$C$34</c:f>
            </c:strRef>
          </c:cat>
          <c:val>
            <c:numRef>
              <c:f>DadosAnaliseVendas!$A$24:$A$34</c:f>
              <c:numCache/>
            </c:numRef>
          </c:val>
        </c:ser>
        <c:axId val="1182139297"/>
        <c:axId val="1406137687"/>
      </c:barChart>
      <c:catAx>
        <c:axId val="1182139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137687"/>
      </c:catAx>
      <c:valAx>
        <c:axId val="1406137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139297"/>
      </c:valAx>
      <c:lineChart>
        <c:varyColors val="0"/>
        <c:ser>
          <c:idx val="1"/>
          <c:order val="1"/>
          <c:tx>
            <c:strRef>
              <c:f>DadosAnaliseVendas!$B$23</c:f>
            </c:strRef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DadosAnaliseVendas!$C$24:$C$34</c:f>
            </c:strRef>
          </c:cat>
          <c:val>
            <c:numRef>
              <c:f>DadosAnaliseVendas!$B$24:$B$34</c:f>
              <c:numCache/>
            </c:numRef>
          </c:val>
          <c:smooth val="0"/>
        </c:ser>
        <c:axId val="885760984"/>
        <c:axId val="570777585"/>
      </c:lineChart>
      <c:catAx>
        <c:axId val="885760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777585"/>
      </c:catAx>
      <c:valAx>
        <c:axId val="5707775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7609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 5 LOJAS COM MAIS VENDAS -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DadosAnaliseVendas!$E$1:$E$6</c:f>
            </c:strRef>
          </c:cat>
          <c:val>
            <c:numRef>
              <c:f>DadosAnaliseVendas!$F$1:$F$6</c:f>
              <c:numCache/>
            </c:numRef>
          </c:val>
        </c:ser>
        <c:axId val="256632464"/>
        <c:axId val="2025562895"/>
      </c:barChart>
      <c:catAx>
        <c:axId val="2566324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2025562895"/>
      </c:catAx>
      <c:valAx>
        <c:axId val="2025562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2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6324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5 MARCAS MAIS VENDIDAS -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DadosAnaliseVendas!$E$8:$E$13</c:f>
            </c:strRef>
          </c:cat>
          <c:val>
            <c:numRef>
              <c:f>DadosAnaliseVendas!$F$8:$F$13</c:f>
              <c:numCache/>
            </c:numRef>
          </c:val>
        </c:ser>
        <c:axId val="1706621191"/>
        <c:axId val="187838104"/>
      </c:barChart>
      <c:catAx>
        <c:axId val="17066211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7838104"/>
      </c:catAx>
      <c:valAx>
        <c:axId val="1878381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066211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Distribuição de Gênero dos Clientes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DadosAnalisePerfilCliente!$B$17:$B$18</c:f>
            </c:strRef>
          </c:cat>
          <c:val>
            <c:numRef>
              <c:f>DadosAnalisePerfilCliente!$C$17:$C$18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Faixa Salarial  Mensal os Clientes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DadosAnalisePerfilCliente!$D$10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DadosAnalisePerfilCliente!$B$11:$B$15</c:f>
            </c:strRef>
          </c:cat>
          <c:val>
            <c:numRef>
              <c:f>DadosAnalisePerfilCliente!$D$11:$D$15</c:f>
              <c:numCache/>
            </c:numRef>
          </c:val>
        </c:ser>
        <c:overlap val="100"/>
        <c:axId val="1900326693"/>
        <c:axId val="1537374705"/>
      </c:barChart>
      <c:catAx>
        <c:axId val="19003266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374705"/>
      </c:catAx>
      <c:valAx>
        <c:axId val="1537374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266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Faixa Etária dos Clientes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DadosAnalisePerfilCliente!$I$1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DadosAnalisePerfilCliente!$G$2:$G$6</c:f>
            </c:strRef>
          </c:cat>
          <c:val>
            <c:numRef>
              <c:f>DadosAnalisePerfilCliente!$I$2:$I$6</c:f>
              <c:numCache/>
            </c:numRef>
          </c:val>
        </c:ser>
        <c:overlap val="100"/>
        <c:axId val="120517311"/>
        <c:axId val="1527175556"/>
      </c:barChart>
      <c:catAx>
        <c:axId val="1205173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175556"/>
      </c:catAx>
      <c:valAx>
        <c:axId val="15271755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173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Status Profissional dos Clientes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DadosAnalisePerfilCliente!$D$1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DadosAnalisePerfilCliente!$B$2:$B$8</c:f>
            </c:strRef>
          </c:cat>
          <c:val>
            <c:numRef>
              <c:f>DadosAnalisePerfilCliente!$D$2:$D$8</c:f>
              <c:numCache/>
            </c:numRef>
          </c:val>
        </c:ser>
        <c:overlap val="100"/>
        <c:axId val="1561113831"/>
        <c:axId val="628086346"/>
      </c:barChart>
      <c:catAx>
        <c:axId val="15611138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86346"/>
      </c:catAx>
      <c:valAx>
        <c:axId val="6280863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1138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Idade dos Veículos Vendidos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DadosAnalisePerfilCliente!$I$9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DadosAnalisePerfilCliente!$G$10:$G$15</c:f>
            </c:strRef>
          </c:cat>
          <c:val>
            <c:numRef>
              <c:f>DadosAnalisePerfilCliente!$I$10:$I$15</c:f>
              <c:numCache/>
            </c:numRef>
          </c:val>
        </c:ser>
        <c:overlap val="100"/>
        <c:axId val="941019261"/>
        <c:axId val="1955197418"/>
      </c:barChart>
      <c:catAx>
        <c:axId val="9410192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197418"/>
      </c:catAx>
      <c:valAx>
        <c:axId val="1955197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0192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Classificação de Veículos Vendidos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DadosAnalisePerfilCliente!$L$1</c:f>
            </c:strRef>
          </c:tx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DadosAnalisePerfilCliente!$K$2:$K$3</c:f>
            </c:strRef>
          </c:cat>
          <c:val>
            <c:numRef>
              <c:f>DadosAnalisePerfilCliente!$L$2:$L$3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714375</xdr:colOff>
      <xdr:row>0</xdr:row>
      <xdr:rowOff>104775</xdr:rowOff>
    </xdr:from>
    <xdr:ext cx="4752975" cy="3086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714375</xdr:colOff>
      <xdr:row>16</xdr:row>
      <xdr:rowOff>104775</xdr:rowOff>
    </xdr:from>
    <xdr:ext cx="4752975" cy="3086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66675</xdr:colOff>
      <xdr:row>0</xdr:row>
      <xdr:rowOff>85725</xdr:rowOff>
    </xdr:from>
    <xdr:ext cx="6286500" cy="3133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16</xdr:row>
      <xdr:rowOff>76200</xdr:rowOff>
    </xdr:from>
    <xdr:ext cx="6286500" cy="3133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790575</xdr:colOff>
      <xdr:row>0</xdr:row>
      <xdr:rowOff>104775</xdr:rowOff>
    </xdr:from>
    <xdr:ext cx="4467225" cy="3086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790575</xdr:colOff>
      <xdr:row>16</xdr:row>
      <xdr:rowOff>104775</xdr:rowOff>
    </xdr:from>
    <xdr:ext cx="4533900" cy="3086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17</xdr:row>
      <xdr:rowOff>171450</xdr:rowOff>
    </xdr:from>
    <xdr:ext cx="4572000" cy="3257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0</xdr:row>
      <xdr:rowOff>104775</xdr:rowOff>
    </xdr:from>
    <xdr:ext cx="5943600" cy="32766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876300</xdr:colOff>
      <xdr:row>0</xdr:row>
      <xdr:rowOff>104775</xdr:rowOff>
    </xdr:from>
    <xdr:ext cx="5476875" cy="32766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142875</xdr:colOff>
      <xdr:row>0</xdr:row>
      <xdr:rowOff>104775</xdr:rowOff>
    </xdr:from>
    <xdr:ext cx="5162550" cy="3276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371475</xdr:colOff>
      <xdr:row>17</xdr:row>
      <xdr:rowOff>161925</xdr:rowOff>
    </xdr:from>
    <xdr:ext cx="6400800" cy="3276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200025</xdr:colOff>
      <xdr:row>17</xdr:row>
      <xdr:rowOff>161925</xdr:rowOff>
    </xdr:from>
    <xdr:ext cx="4667250" cy="32766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25"/>
    <col customWidth="1" min="5" max="5" width="33.5"/>
    <col customWidth="1" min="6" max="6" width="15.38"/>
    <col customWidth="1" min="7" max="7" width="12.38"/>
    <col customWidth="1" min="9" max="9" width="15.38"/>
  </cols>
  <sheetData>
    <row r="1">
      <c r="A1" s="2" t="s">
        <v>0</v>
      </c>
      <c r="B1" s="2" t="s">
        <v>1</v>
      </c>
      <c r="D1" s="3" t="s">
        <v>2</v>
      </c>
    </row>
    <row r="2">
      <c r="A2" s="2" t="s">
        <v>3</v>
      </c>
      <c r="B2" s="2">
        <v>2463.0</v>
      </c>
      <c r="E2" s="2" t="s">
        <v>4</v>
      </c>
      <c r="F2" s="2">
        <v>18.0</v>
      </c>
      <c r="J2" s="4"/>
    </row>
    <row r="3">
      <c r="A3" s="2" t="s">
        <v>5</v>
      </c>
      <c r="B3" s="2">
        <v>403.0</v>
      </c>
      <c r="E3" s="2" t="s">
        <v>6</v>
      </c>
      <c r="F3" s="2">
        <v>15.0</v>
      </c>
      <c r="J3" s="4"/>
    </row>
    <row r="4">
      <c r="A4" s="2" t="s">
        <v>7</v>
      </c>
      <c r="B4" s="2">
        <v>308.0</v>
      </c>
      <c r="E4" s="2" t="s">
        <v>8</v>
      </c>
      <c r="F4" s="2">
        <v>10.0</v>
      </c>
      <c r="J4" s="4"/>
    </row>
    <row r="5">
      <c r="A5" s="2" t="s">
        <v>9</v>
      </c>
      <c r="B5" s="2">
        <v>233.0</v>
      </c>
      <c r="E5" s="2" t="s">
        <v>10</v>
      </c>
      <c r="F5" s="2">
        <v>10.0</v>
      </c>
      <c r="J5" s="4"/>
    </row>
    <row r="6">
      <c r="A6" s="2" t="s">
        <v>11</v>
      </c>
      <c r="B6" s="2">
        <v>177.0</v>
      </c>
      <c r="E6" s="2" t="s">
        <v>12</v>
      </c>
      <c r="F6" s="2">
        <v>10.0</v>
      </c>
      <c r="J6" s="4"/>
    </row>
    <row r="7">
      <c r="A7" s="2" t="s">
        <v>13</v>
      </c>
      <c r="B7" s="2">
        <v>113.0</v>
      </c>
      <c r="J7" s="4"/>
    </row>
    <row r="8">
      <c r="A8" s="2" t="s">
        <v>14</v>
      </c>
      <c r="B8" s="2">
        <v>31.0</v>
      </c>
      <c r="J8" s="4"/>
    </row>
    <row r="9">
      <c r="A9" s="2" t="s">
        <v>15</v>
      </c>
      <c r="B9" s="2">
        <v>22.0</v>
      </c>
      <c r="E9" s="2" t="s">
        <v>16</v>
      </c>
      <c r="F9" s="2">
        <v>248.0</v>
      </c>
      <c r="J9" s="4"/>
    </row>
    <row r="10">
      <c r="A10" s="2" t="s">
        <v>17</v>
      </c>
      <c r="B10" s="2">
        <v>22.0</v>
      </c>
      <c r="E10" s="2" t="s">
        <v>18</v>
      </c>
      <c r="F10" s="2">
        <v>237.0</v>
      </c>
      <c r="J10" s="4"/>
    </row>
    <row r="11">
      <c r="A11" s="2" t="s">
        <v>19</v>
      </c>
      <c r="B11" s="2">
        <v>15.0</v>
      </c>
      <c r="E11" s="2" t="s">
        <v>20</v>
      </c>
      <c r="F11" s="2">
        <v>193.0</v>
      </c>
      <c r="J11" s="4"/>
    </row>
    <row r="12">
      <c r="A12" s="2" t="s">
        <v>21</v>
      </c>
      <c r="B12" s="2">
        <v>1.0</v>
      </c>
      <c r="E12" s="2" t="s">
        <v>22</v>
      </c>
      <c r="F12" s="2">
        <v>136.0</v>
      </c>
      <c r="J12" s="4"/>
    </row>
    <row r="13">
      <c r="E13" s="2" t="s">
        <v>23</v>
      </c>
      <c r="F13" s="2">
        <v>108.0</v>
      </c>
      <c r="J13" s="4"/>
    </row>
    <row r="14">
      <c r="A14" s="2" t="s">
        <v>24</v>
      </c>
      <c r="B14" s="2" t="s">
        <v>25</v>
      </c>
    </row>
    <row r="15">
      <c r="A15" s="2" t="s">
        <v>26</v>
      </c>
      <c r="B15" s="2">
        <v>340.0</v>
      </c>
    </row>
    <row r="16">
      <c r="A16" s="2" t="s">
        <v>27</v>
      </c>
      <c r="B16" s="2">
        <v>5316.0</v>
      </c>
      <c r="E16" s="2" t="s">
        <v>28</v>
      </c>
      <c r="F16" s="2" t="s">
        <v>29</v>
      </c>
      <c r="G16" s="2" t="s">
        <v>30</v>
      </c>
    </row>
    <row r="17">
      <c r="A17" s="2" t="s">
        <v>31</v>
      </c>
      <c r="B17" s="2">
        <v>5830.0</v>
      </c>
      <c r="F17" s="5"/>
      <c r="G17" s="4"/>
    </row>
    <row r="18">
      <c r="A18" s="2" t="s">
        <v>32</v>
      </c>
      <c r="B18" s="2">
        <v>5371.0</v>
      </c>
      <c r="E18" s="2">
        <v>931.0</v>
      </c>
      <c r="F18" s="5">
        <v>0.05</v>
      </c>
      <c r="G18" s="4">
        <v>44105.0</v>
      </c>
    </row>
    <row r="19">
      <c r="A19" s="2" t="s">
        <v>33</v>
      </c>
      <c r="B19" s="2">
        <v>5365.0</v>
      </c>
      <c r="E19" s="2">
        <v>1207.0</v>
      </c>
      <c r="F19" s="5">
        <v>0.04</v>
      </c>
      <c r="G19" s="4">
        <v>44136.0</v>
      </c>
    </row>
    <row r="20">
      <c r="A20" s="2" t="s">
        <v>34</v>
      </c>
      <c r="B20" s="2">
        <v>4878.0</v>
      </c>
      <c r="E20" s="2">
        <v>1008.0</v>
      </c>
      <c r="F20" s="5">
        <v>0.04</v>
      </c>
      <c r="G20" s="4">
        <v>44166.0</v>
      </c>
    </row>
    <row r="21">
      <c r="A21" s="2" t="s">
        <v>35</v>
      </c>
      <c r="B21" s="2">
        <v>3480.0</v>
      </c>
      <c r="E21" s="2">
        <v>1058.0</v>
      </c>
      <c r="F21" s="5">
        <v>0.04</v>
      </c>
      <c r="G21" s="4">
        <v>44197.0</v>
      </c>
    </row>
    <row r="22">
      <c r="E22" s="2">
        <v>1300.0</v>
      </c>
      <c r="F22" s="5">
        <v>0.06</v>
      </c>
      <c r="G22" s="4">
        <v>44228.0</v>
      </c>
    </row>
    <row r="23">
      <c r="A23" s="2" t="s">
        <v>36</v>
      </c>
      <c r="B23" s="2" t="s">
        <v>37</v>
      </c>
      <c r="C23" s="2" t="s">
        <v>38</v>
      </c>
      <c r="D23" s="2"/>
      <c r="E23" s="2">
        <v>1932.0</v>
      </c>
      <c r="F23" s="5">
        <v>0.07</v>
      </c>
      <c r="G23" s="4">
        <v>44256.0</v>
      </c>
    </row>
    <row r="24">
      <c r="A24" s="6">
        <v>1676456.85</v>
      </c>
      <c r="B24" s="6">
        <v>47898.77</v>
      </c>
      <c r="C24" s="4">
        <v>44105.0</v>
      </c>
      <c r="D24" s="4"/>
      <c r="E24" s="2">
        <v>2376.0</v>
      </c>
      <c r="F24" s="5">
        <v>0.07</v>
      </c>
      <c r="G24" s="4">
        <v>44287.0</v>
      </c>
    </row>
    <row r="25">
      <c r="A25" s="6">
        <v>2278507.5</v>
      </c>
      <c r="B25" s="6">
        <v>51784.26</v>
      </c>
      <c r="C25" s="4">
        <v>44136.0</v>
      </c>
      <c r="D25" s="4"/>
      <c r="E25" s="2">
        <v>3819.0</v>
      </c>
      <c r="F25" s="5">
        <v>0.13</v>
      </c>
      <c r="G25" s="4">
        <v>44317.0</v>
      </c>
    </row>
    <row r="26">
      <c r="A26" s="6">
        <v>2602768.69</v>
      </c>
      <c r="B26" s="6">
        <v>78871.78</v>
      </c>
      <c r="C26" s="4">
        <v>44166.0</v>
      </c>
      <c r="D26" s="4"/>
      <c r="E26" s="2">
        <v>4440.0</v>
      </c>
      <c r="F26" s="5">
        <v>0.13</v>
      </c>
      <c r="G26" s="4">
        <v>44348.0</v>
      </c>
    </row>
    <row r="27">
      <c r="A27" s="6">
        <v>2297224.05</v>
      </c>
      <c r="B27" s="6">
        <v>71788.25</v>
      </c>
      <c r="C27" s="4">
        <v>44197.0</v>
      </c>
      <c r="D27" s="4"/>
      <c r="E27" s="2">
        <v>6130.0</v>
      </c>
      <c r="F27" s="5">
        <v>0.19</v>
      </c>
      <c r="G27" s="4">
        <v>44378.0</v>
      </c>
    </row>
    <row r="28">
      <c r="A28" s="6">
        <v>3631095.9</v>
      </c>
      <c r="B28" s="6">
        <v>53398.47</v>
      </c>
      <c r="C28" s="4">
        <v>44228.0</v>
      </c>
      <c r="D28" s="4"/>
      <c r="E28" s="2">
        <v>6353.0</v>
      </c>
      <c r="F28" s="5">
        <v>0.16</v>
      </c>
      <c r="G28" s="4">
        <v>44409.0</v>
      </c>
    </row>
    <row r="29">
      <c r="A29" s="6">
        <v>7911192.48</v>
      </c>
      <c r="B29" s="6">
        <v>66480.61</v>
      </c>
      <c r="C29" s="4">
        <v>44256.0</v>
      </c>
      <c r="D29" s="4"/>
    </row>
    <row r="30">
      <c r="A30" s="6">
        <v>7477555.92</v>
      </c>
      <c r="B30" s="6">
        <v>52658.84</v>
      </c>
      <c r="C30" s="4">
        <v>44287.0</v>
      </c>
      <c r="D30" s="4"/>
    </row>
    <row r="31">
      <c r="A31" s="6">
        <v>2.150847648E7</v>
      </c>
      <c r="B31" s="6">
        <v>54590.04</v>
      </c>
      <c r="C31" s="4">
        <v>44317.0</v>
      </c>
      <c r="D31" s="4"/>
    </row>
    <row r="32">
      <c r="A32" s="6">
        <v>3.317924664E7</v>
      </c>
      <c r="B32" s="6">
        <v>56331.49</v>
      </c>
      <c r="C32" s="4">
        <v>44348.0</v>
      </c>
      <c r="D32" s="4"/>
    </row>
    <row r="33">
      <c r="A33" s="6">
        <v>5.898778649E7</v>
      </c>
      <c r="B33" s="6">
        <v>54974.64</v>
      </c>
      <c r="C33" s="4">
        <v>44378.0</v>
      </c>
      <c r="D33" s="4"/>
    </row>
    <row r="34">
      <c r="A34" s="6">
        <v>6.827409023E7</v>
      </c>
      <c r="B34" s="6">
        <v>54445.05</v>
      </c>
      <c r="C34" s="4">
        <v>44409.0</v>
      </c>
      <c r="D34" s="4"/>
    </row>
    <row r="35">
      <c r="A35" s="6"/>
      <c r="B35" s="6"/>
      <c r="C35" s="4"/>
      <c r="D35" s="4"/>
    </row>
    <row r="36">
      <c r="A36" s="6"/>
      <c r="B36" s="6"/>
      <c r="C36" s="4"/>
      <c r="D36" s="4"/>
    </row>
    <row r="37">
      <c r="D37" s="4"/>
    </row>
    <row r="38">
      <c r="A38" s="6"/>
      <c r="B38" s="6"/>
      <c r="C38" s="4"/>
      <c r="D38" s="4"/>
    </row>
    <row r="39">
      <c r="A39" s="6"/>
      <c r="B39" s="6"/>
      <c r="C39" s="4"/>
      <c r="D39" s="4"/>
    </row>
    <row r="40">
      <c r="A40" s="6"/>
      <c r="B40" s="6"/>
      <c r="C40" s="4"/>
      <c r="D40" s="4"/>
    </row>
    <row r="41">
      <c r="A41" s="6"/>
      <c r="B41" s="6"/>
      <c r="C41" s="4"/>
      <c r="D41" s="4"/>
    </row>
    <row r="42">
      <c r="A42" s="6"/>
      <c r="B42" s="6"/>
      <c r="C42" s="4"/>
      <c r="D42" s="4"/>
    </row>
    <row r="43">
      <c r="A43" s="6"/>
      <c r="B43" s="6"/>
      <c r="C43" s="4"/>
      <c r="D43" s="4"/>
    </row>
    <row r="44">
      <c r="A44" s="6"/>
      <c r="B44" s="6"/>
      <c r="C44" s="4"/>
    </row>
    <row r="45">
      <c r="A45" s="6"/>
      <c r="B45" s="6"/>
      <c r="C45" s="4"/>
    </row>
    <row r="46">
      <c r="A46" s="6"/>
      <c r="B46" s="6"/>
      <c r="C46" s="4"/>
    </row>
    <row r="47">
      <c r="A47" s="6"/>
      <c r="B47" s="6"/>
      <c r="C47" s="4"/>
    </row>
    <row r="48">
      <c r="A48" s="6"/>
      <c r="B48" s="6"/>
      <c r="C48" s="4"/>
    </row>
  </sheetData>
  <mergeCells count="1">
    <mergeCell ref="D1:D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B1" s="2" t="s">
        <v>39</v>
      </c>
      <c r="C1" s="2" t="s">
        <v>40</v>
      </c>
      <c r="D1" s="2" t="s">
        <v>41</v>
      </c>
      <c r="G1" s="2" t="s">
        <v>42</v>
      </c>
      <c r="H1" s="2" t="s">
        <v>40</v>
      </c>
      <c r="I1" s="2" t="s">
        <v>41</v>
      </c>
      <c r="K1" s="2" t="s">
        <v>43</v>
      </c>
      <c r="L1" s="2" t="s">
        <v>40</v>
      </c>
      <c r="M1" s="2" t="s">
        <v>41</v>
      </c>
    </row>
    <row r="2">
      <c r="B2" s="2" t="s">
        <v>44</v>
      </c>
      <c r="C2" s="2">
        <v>2415.0</v>
      </c>
      <c r="D2" s="7">
        <f t="shared" ref="D2:D8" si="1">C2/3788</f>
        <v>0.6375395987</v>
      </c>
      <c r="G2" s="2" t="s">
        <v>45</v>
      </c>
      <c r="H2" s="2">
        <v>338.0</v>
      </c>
      <c r="I2" s="7">
        <f t="shared" ref="I2:I6" si="2">H2/3788</f>
        <v>0.08922914467</v>
      </c>
      <c r="K2" s="2" t="s">
        <v>46</v>
      </c>
      <c r="L2" s="2">
        <v>339.0</v>
      </c>
      <c r="M2" s="7">
        <f t="shared" ref="M2:M3" si="3">L2/3788</f>
        <v>0.08949313622</v>
      </c>
    </row>
    <row r="3">
      <c r="B3" s="2" t="s">
        <v>47</v>
      </c>
      <c r="C3" s="2">
        <v>312.0</v>
      </c>
      <c r="D3" s="7">
        <f t="shared" si="1"/>
        <v>0.08236536431</v>
      </c>
      <c r="G3" s="2" t="s">
        <v>48</v>
      </c>
      <c r="H3" s="2">
        <v>2200.0</v>
      </c>
      <c r="I3" s="7">
        <f t="shared" si="2"/>
        <v>0.580781415</v>
      </c>
      <c r="K3" s="2" t="s">
        <v>49</v>
      </c>
      <c r="L3" s="2">
        <v>3449.0</v>
      </c>
      <c r="M3" s="7">
        <f t="shared" si="3"/>
        <v>0.9105068638</v>
      </c>
    </row>
    <row r="4">
      <c r="B4" s="2" t="s">
        <v>50</v>
      </c>
      <c r="C4" s="2">
        <v>305.0</v>
      </c>
      <c r="D4" s="7">
        <f t="shared" si="1"/>
        <v>0.08051742344</v>
      </c>
      <c r="G4" s="2" t="s">
        <v>51</v>
      </c>
      <c r="H4" s="2">
        <v>1067.0</v>
      </c>
      <c r="I4" s="7">
        <f t="shared" si="2"/>
        <v>0.2816789863</v>
      </c>
    </row>
    <row r="5">
      <c r="B5" s="2" t="s">
        <v>52</v>
      </c>
      <c r="C5" s="2">
        <v>293.0</v>
      </c>
      <c r="D5" s="7">
        <f t="shared" si="1"/>
        <v>0.07734952482</v>
      </c>
      <c r="G5" s="2" t="s">
        <v>53</v>
      </c>
      <c r="H5" s="2">
        <v>183.0</v>
      </c>
      <c r="I5" s="7">
        <f t="shared" si="2"/>
        <v>0.04831045407</v>
      </c>
      <c r="M5" s="7"/>
    </row>
    <row r="6">
      <c r="B6" s="2" t="s">
        <v>54</v>
      </c>
      <c r="C6" s="2">
        <v>215.0</v>
      </c>
      <c r="D6" s="7">
        <f t="shared" si="1"/>
        <v>0.05675818374</v>
      </c>
      <c r="G6" s="8" t="str">
        <f>"80+"</f>
        <v>80+</v>
      </c>
      <c r="H6" s="2">
        <v>0.0</v>
      </c>
      <c r="I6" s="7">
        <f t="shared" si="2"/>
        <v>0</v>
      </c>
      <c r="M6" s="7"/>
    </row>
    <row r="7">
      <c r="B7" s="2" t="s">
        <v>55</v>
      </c>
      <c r="C7" s="2">
        <v>169.0</v>
      </c>
      <c r="D7" s="7">
        <f t="shared" si="1"/>
        <v>0.04461457233</v>
      </c>
    </row>
    <row r="8">
      <c r="B8" s="2" t="s">
        <v>56</v>
      </c>
      <c r="C8" s="2">
        <v>79.0</v>
      </c>
      <c r="D8" s="7">
        <f t="shared" si="1"/>
        <v>0.02085533263</v>
      </c>
    </row>
    <row r="9">
      <c r="D9" s="7"/>
      <c r="G9" s="2" t="s">
        <v>57</v>
      </c>
      <c r="H9" s="2" t="s">
        <v>40</v>
      </c>
      <c r="I9" s="2" t="s">
        <v>41</v>
      </c>
      <c r="M9" s="7"/>
    </row>
    <row r="10">
      <c r="B10" s="2" t="s">
        <v>58</v>
      </c>
      <c r="C10" s="2" t="s">
        <v>40</v>
      </c>
      <c r="D10" s="2" t="s">
        <v>41</v>
      </c>
      <c r="G10" s="2" t="s">
        <v>59</v>
      </c>
      <c r="H10" s="2">
        <v>81.0</v>
      </c>
      <c r="I10" s="7">
        <f t="shared" ref="I10:I15" si="4">H10/3788</f>
        <v>0.02138331573</v>
      </c>
      <c r="M10" s="7"/>
    </row>
    <row r="11">
      <c r="B11" s="2" t="s">
        <v>60</v>
      </c>
      <c r="C11" s="2">
        <v>1041.0</v>
      </c>
      <c r="D11" s="7">
        <f t="shared" ref="D11:D15" si="5">C11/3788</f>
        <v>0.2748152059</v>
      </c>
      <c r="G11" s="2" t="s">
        <v>61</v>
      </c>
      <c r="H11" s="2">
        <v>258.0</v>
      </c>
      <c r="I11" s="7">
        <f t="shared" si="4"/>
        <v>0.06810982049</v>
      </c>
      <c r="M11" s="7"/>
    </row>
    <row r="12">
      <c r="B12" s="2" t="s">
        <v>62</v>
      </c>
      <c r="C12" s="2">
        <v>2415.0</v>
      </c>
      <c r="D12" s="7">
        <f t="shared" si="5"/>
        <v>0.6375395987</v>
      </c>
      <c r="G12" s="2" t="s">
        <v>63</v>
      </c>
      <c r="H12" s="2">
        <v>527.0</v>
      </c>
      <c r="I12" s="7">
        <f t="shared" si="4"/>
        <v>0.139123548</v>
      </c>
      <c r="M12" s="7"/>
    </row>
    <row r="13">
      <c r="B13" s="2" t="s">
        <v>64</v>
      </c>
      <c r="C13" s="2">
        <v>237.0</v>
      </c>
      <c r="D13" s="7">
        <f t="shared" si="5"/>
        <v>0.06256599789</v>
      </c>
      <c r="G13" s="2" t="s">
        <v>65</v>
      </c>
      <c r="H13" s="2">
        <v>702.0</v>
      </c>
      <c r="I13" s="7">
        <f t="shared" si="4"/>
        <v>0.1853220697</v>
      </c>
      <c r="M13" s="7"/>
    </row>
    <row r="14">
      <c r="B14" s="2" t="s">
        <v>66</v>
      </c>
      <c r="C14" s="2">
        <v>60.0</v>
      </c>
      <c r="D14" s="7">
        <f t="shared" si="5"/>
        <v>0.01583949314</v>
      </c>
      <c r="G14" s="2" t="s">
        <v>67</v>
      </c>
      <c r="H14" s="2">
        <v>1258.0</v>
      </c>
      <c r="I14" s="7">
        <f t="shared" si="4"/>
        <v>0.3321013728</v>
      </c>
      <c r="M14" s="7"/>
    </row>
    <row r="15">
      <c r="B15" s="8" t="str">
        <f>"20000+"</f>
        <v>20000+</v>
      </c>
      <c r="C15" s="2">
        <v>35.0</v>
      </c>
      <c r="D15" s="7">
        <f t="shared" si="5"/>
        <v>0.009239704329</v>
      </c>
      <c r="G15" s="2" t="s">
        <v>68</v>
      </c>
      <c r="H15" s="2">
        <v>962.0</v>
      </c>
      <c r="I15" s="7">
        <f t="shared" si="4"/>
        <v>0.2539598733</v>
      </c>
    </row>
    <row r="17">
      <c r="B17" s="2" t="s">
        <v>69</v>
      </c>
      <c r="C17" s="7">
        <v>0.4328426862925483</v>
      </c>
      <c r="D17" s="7"/>
    </row>
    <row r="18">
      <c r="B18" s="2" t="s">
        <v>70</v>
      </c>
      <c r="C18" s="7">
        <v>0.5671573137074517</v>
      </c>
      <c r="D18" s="7"/>
    </row>
  </sheetData>
  <drawing r:id="rId1"/>
</worksheet>
</file>